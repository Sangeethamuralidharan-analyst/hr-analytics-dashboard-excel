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785bd3e3006254/Documents/project/"/>
    </mc:Choice>
  </mc:AlternateContent>
  <xr:revisionPtr revIDLastSave="2" documentId="8_{04DA5BAD-8E2B-42D2-9C83-7AD98BC3373B}" xr6:coauthVersionLast="47" xr6:coauthVersionMax="47" xr10:uidLastSave="{82E89A42-97EF-4223-9023-03378CA82AE9}"/>
  <bookViews>
    <workbookView xWindow="-120" yWindow="-120" windowWidth="20730" windowHeight="11040" xr2:uid="{818EAAD2-3E55-4C52-B568-492E0C61223D}"/>
  </bookViews>
  <sheets>
    <sheet name="Raw Data" sheetId="1" r:id="rId1"/>
    <sheet name="Analysis" sheetId="2" r:id="rId2"/>
    <sheet name="KPI + Chart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F4" i="3"/>
  <c r="B4" i="3"/>
</calcChain>
</file>

<file path=xl/sharedStrings.xml><?xml version="1.0" encoding="utf-8"?>
<sst xmlns="http://schemas.openxmlformats.org/spreadsheetml/2006/main" count="184" uniqueCount="141">
  <si>
    <t>Employee ID</t>
  </si>
  <si>
    <t>Full Name</t>
  </si>
  <si>
    <t>Department</t>
  </si>
  <si>
    <t>Designation</t>
  </si>
  <si>
    <t>Hire Date</t>
  </si>
  <si>
    <t>Annual Salary (USD)</t>
  </si>
  <si>
    <t>John Smith</t>
  </si>
  <si>
    <t>Human Resources</t>
  </si>
  <si>
    <t>HR Manager</t>
  </si>
  <si>
    <t>Jane Doe</t>
  </si>
  <si>
    <t>Marketing</t>
  </si>
  <si>
    <t>Marketing Specialist</t>
  </si>
  <si>
    <t>Michael Johnson</t>
  </si>
  <si>
    <t>Finance</t>
  </si>
  <si>
    <t>Financial Analyst</t>
  </si>
  <si>
    <t>Emily Brown</t>
  </si>
  <si>
    <t>Sales</t>
  </si>
  <si>
    <t>Sales Representative</t>
  </si>
  <si>
    <t>David Wilson</t>
  </si>
  <si>
    <t>Information Technology</t>
  </si>
  <si>
    <t>IT Specialist</t>
  </si>
  <si>
    <t>Lisa Taylor</t>
  </si>
  <si>
    <t>Operations</t>
  </si>
  <si>
    <t>Operations Manager</t>
  </si>
  <si>
    <t>Daniel Martinez</t>
  </si>
  <si>
    <t>Customer Service</t>
  </si>
  <si>
    <t>Customer Service Representative</t>
  </si>
  <si>
    <t>Sarah Anderson</t>
  </si>
  <si>
    <t>Research and Development</t>
  </si>
  <si>
    <t>R&amp;D Engineer</t>
  </si>
  <si>
    <t>Christopher Thomas</t>
  </si>
  <si>
    <t>Production</t>
  </si>
  <si>
    <t>Production Supervisor</t>
  </si>
  <si>
    <t>Kimberly Garcia</t>
  </si>
  <si>
    <t>Quality Assurance</t>
  </si>
  <si>
    <t>QA Analyst</t>
  </si>
  <si>
    <t>William Hernandez</t>
  </si>
  <si>
    <t>HR Coordinator</t>
  </si>
  <si>
    <t>Melissa Lopez</t>
  </si>
  <si>
    <t>Marketing Manager</t>
  </si>
  <si>
    <t>Richard Perez</t>
  </si>
  <si>
    <t>Finance Manager</t>
  </si>
  <si>
    <t>Jessica Gonzalez</t>
  </si>
  <si>
    <t>Sales Manager</t>
  </si>
  <si>
    <t>Matthew Wilson</t>
  </si>
  <si>
    <t>IT Manager</t>
  </si>
  <si>
    <t>Amanda Martinez</t>
  </si>
  <si>
    <t>Operations Coordinator</t>
  </si>
  <si>
    <t>James Johnson</t>
  </si>
  <si>
    <t>Customer Service Manager</t>
  </si>
  <si>
    <t>Laura Brown</t>
  </si>
  <si>
    <t>R&amp;D Manager</t>
  </si>
  <si>
    <t>Daniel Smith</t>
  </si>
  <si>
    <t>Production Manager</t>
  </si>
  <si>
    <t>Jennifer Davis</t>
  </si>
  <si>
    <t>QA Manager</t>
  </si>
  <si>
    <t>Michael Garcia</t>
  </si>
  <si>
    <t>HR Assistant</t>
  </si>
  <si>
    <t>Amy Hernandez</t>
  </si>
  <si>
    <t>Marketing Coordinator</t>
  </si>
  <si>
    <t>Christopher Rodriguez</t>
  </si>
  <si>
    <t>Senior Financial Analyst</t>
  </si>
  <si>
    <t>Jessica Martinez</t>
  </si>
  <si>
    <t>Senior Sales Representative</t>
  </si>
  <si>
    <t>Senior IT Specialist</t>
  </si>
  <si>
    <t>Sarah Smith</t>
  </si>
  <si>
    <t>Assistant Operations Manager</t>
  </si>
  <si>
    <t>Matthew Johnson</t>
  </si>
  <si>
    <t>Senior Customer Service Representative</t>
  </si>
  <si>
    <t>Emily Davis</t>
  </si>
  <si>
    <t>R&amp;D Technician</t>
  </si>
  <si>
    <t>Daniel Wilson</t>
  </si>
  <si>
    <t>Senior Production Supervisor</t>
  </si>
  <si>
    <t>Jennifer Martinez</t>
  </si>
  <si>
    <t>Senior QA Analyst</t>
  </si>
  <si>
    <t>Michael Smith</t>
  </si>
  <si>
    <t>HR Generalist</t>
  </si>
  <si>
    <t>Jessica Johnson</t>
  </si>
  <si>
    <t>Marketing Assistant</t>
  </si>
  <si>
    <t>David Brown</t>
  </si>
  <si>
    <t>Junior Financial Analyst</t>
  </si>
  <si>
    <t>Sarah Garcia</t>
  </si>
  <si>
    <t>Sales Coordinator</t>
  </si>
  <si>
    <t>Matthew Hernandez</t>
  </si>
  <si>
    <t>Junior IT Specialist</t>
  </si>
  <si>
    <t>Emily Rodriguez</t>
  </si>
  <si>
    <t>Operations Assistant</t>
  </si>
  <si>
    <t>Daniel Davis</t>
  </si>
  <si>
    <t>Customer Service Associate</t>
  </si>
  <si>
    <t>Jennifer Smith</t>
  </si>
  <si>
    <t>R&amp;D Assistant</t>
  </si>
  <si>
    <t>Production Assistant</t>
  </si>
  <si>
    <t>QA Assistant</t>
  </si>
  <si>
    <t>Employee Management Data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</si>
  <si>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</si>
  <si>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</si>
  <si>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</si>
  <si>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</si>
  <si>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</si>
  <si>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</si>
  <si>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</si>
  <si>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</si>
  <si>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</si>
  <si>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</si>
  <si>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</si>
  <si>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</si>
  <si>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</si>
  <si>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</si>
  <si>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</si>
  <si>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</si>
  <si>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</si>
  <si>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</si>
  <si>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</si>
  <si>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</si>
  <si>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</si>
  <si>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</si>
  <si>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</si>
  <si>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</si>
  <si>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</si>
  <si>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</si>
  <si>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</si>
  <si>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</si>
  <si>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</si>
  <si>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</si>
  <si>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</si>
  <si>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</si>
  <si>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</si>
  <si>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</si>
  <si>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</si>
  <si>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</si>
  <si>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</si>
  <si>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</si>
  <si>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</si>
  <si>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</si>
  <si>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Row Labels</t>
  </si>
  <si>
    <t>Grand Total</t>
  </si>
  <si>
    <t>Count of Employee ID</t>
  </si>
  <si>
    <t>Total Employees</t>
  </si>
  <si>
    <t>Total Departments</t>
  </si>
  <si>
    <t>Avg Employees / Dept</t>
  </si>
  <si>
    <t>HR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</si>
</sst>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20"/>
      <color theme="4" tint="-0.499984740745262"/>
      <name val="Aptos Display"/>
      <family val="2"/>
      <scheme val="major"/>
    </font>
    <font>
      <sz val="8"/>
      <name val="Aptos Narrow"/>
      <family val="2"/>
      <scheme val="minor"/>
    </font>
    <font>
      <b/>
      <sz val="3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0" fillId="4" borderId="0" xfId="0" applyFill="1"/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4" fontId="3" fillId="0" borderId="9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6" fillId="5" borderId="0" xfId="0" applyFont="1" applyFill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by Department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2592142233640405"/>
          <c:y val="2.7547243341574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10">
                        <c:v>(blank)</c:v>
                      </c:pt>
                    </c:strCache>
                  </c16:filteredLitCache>
                </c:ext>
              </c:extLst>
              <c:f/>
              <c:strCache>
                <c:ptCount val="10"/>
                <c:pt idx="0">
                  <c:v>Customer Service</c:v>
                </c:pt>
                <c:pt idx="1">
                  <c:v>Finance</c:v>
                </c:pt>
                <c:pt idx="2">
                  <c:v>Human Resources</c:v>
                </c:pt>
                <c:pt idx="3">
                  <c:v>Information Technology</c:v>
                </c:pt>
                <c:pt idx="4">
                  <c:v>Marketing</c:v>
                </c:pt>
                <c:pt idx="5">
                  <c:v>Operations</c:v>
                </c:pt>
                <c:pt idx="6">
                  <c:v>Production</c:v>
                </c:pt>
                <c:pt idx="7">
                  <c:v>Quality Assurance</c:v>
                </c:pt>
                <c:pt idx="8">
                  <c:v>Research and Development</c:v>
                </c:pt>
                <c:pt idx="9">
                  <c:v>Sales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1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9-4FB9-A6DF-3D892C52E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232241104"/>
        <c:axId val="1232241584"/>
      </c:barChart>
      <c:catAx>
        <c:axId val="123224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41584"/>
        <c:crosses val="autoZero"/>
        <c:auto val="1"/>
        <c:lblAlgn val="ctr"/>
        <c:lblOffset val="100"/>
        <c:noMultiLvlLbl val="0"/>
      </c:catAx>
      <c:valAx>
        <c:axId val="123224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4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Employees by Department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layout>
        <c:manualLayout>
          <c:xMode val="edge"/>
          <c:yMode val="edge"/>
          <c:x val="0.26840615511296384"/>
          <c:y val="5.5094486683149223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10">
                        <c:v>(blank)</c:v>
                      </c:pt>
                    </c:strCache>
                  </c16:filteredLitCache>
                </c:ext>
              </c:extLst>
              <c:f/>
              <c:strCache>
                <c:ptCount val="10"/>
                <c:pt idx="0">
                  <c:v>Customer Service</c:v>
                </c:pt>
                <c:pt idx="1">
                  <c:v>Finance</c:v>
                </c:pt>
                <c:pt idx="2">
                  <c:v>Human Resources</c:v>
                </c:pt>
                <c:pt idx="3">
                  <c:v>Information Technology</c:v>
                </c:pt>
                <c:pt idx="4">
                  <c:v>Marketing</c:v>
                </c:pt>
                <c:pt idx="5">
                  <c:v>Operations</c:v>
                </c:pt>
                <c:pt idx="6">
                  <c:v>Production</c:v>
                </c:pt>
                <c:pt idx="7">
                  <c:v>Quality Assurance</c:v>
                </c:pt>
                <c:pt idx="8">
                  <c:v>Research and Development</c:v>
                </c:pt>
                <c:pt idx="9">
                  <c:v>Sales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10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C-4A1D-A1B0-25424601DD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232241104"/>
        <c:axId val="1232241584"/>
      </c:barChart>
      <c:catAx>
        <c:axId val="123224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41584"/>
        <c:crosses val="autoZero"/>
        <c:auto val="1"/>
        <c:lblAlgn val="ctr"/>
        <c:lblOffset val="100"/>
        <c:noMultiLvlLbl val="0"/>
      </c:catAx>
      <c:valAx>
        <c:axId val="123224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411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315301</xdr:colOff>
      <xdr:row>1</xdr:row>
      <xdr:rowOff>152401</xdr:rowOff>
    </xdr:from>
    <xdr:to>
      <xdr:col>12</xdr:col>
      <xdr:colOff>201002</xdr:colOff>
      <xdr:row>16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9B8B51-B385-4C84-94C6-ABDC7C870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4</xdr:row>
      <xdr:rowOff>161925</xdr:rowOff>
    </xdr:from>
    <xdr:to>
      <xdr:col>6</xdr:col>
      <xdr:colOff>1009650</xdr:colOff>
      <xdr:row>19</xdr:row>
      <xdr:rowOff>70582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73A0CF-F01F-46A9-9669-45EB6F532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087.782858796294" createdVersion="8" refreshedVersion="8" minRefreshableVersion="3" recordCount="41" xr:uid="{A214B974-D91E-4E49-B5AF-2F995E67B45E}">
  <cacheSource type="worksheet">
    <worksheetSource ref="A4:F45" sheet="Raw Data"/>
  </cacheSource>
  <cacheFields count="6">
    <cacheField name="Employee ID" numFmtId="0">
      <sharedItems containsBlank="1" count="41"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  <s v="S131"/>
        <s v="S132"/>
        <s v="S133"/>
        <s v="S134"/>
        <s v="S135"/>
        <s v="S136"/>
        <s v="S137"/>
        <s v="S138"/>
        <s v="S139"/>
        <s v="S140"/>
        <m/>
      </sharedItems>
    </cacheField>
    <cacheField name="Full Name" numFmtId="0">
      <sharedItems containsBlank="1"/>
    </cacheField>
    <cacheField name="Department" numFmtId="0">
      <sharedItems containsBlank="1" count="11">
        <s v="Human Resources"/>
        <s v="Marketing"/>
        <s v="Finance"/>
        <s v="Sales"/>
        <s v="Information Technology"/>
        <s v="Operations"/>
        <s v="Customer Service"/>
        <s v="Research and Development"/>
        <s v="Production"/>
        <s v="Quality Assurance"/>
        <m/>
      </sharedItems>
    </cacheField>
    <cacheField name="Designation" numFmtId="0">
      <sharedItems containsBlank="1"/>
    </cacheField>
    <cacheField name="Hire Date" numFmtId="0">
      <sharedItems containsNonDate="0" containsDate="1" containsString="0" containsBlank="1" minDate="2023-01-17T00:00:00" maxDate="2023-12-04T00:00:00"/>
    </cacheField>
    <cacheField name="Annual Salary (USD)" numFmtId="0">
      <sharedItems containsString="0" containsBlank="1" containsNumber="1" containsInteger="1" minValue="40000" maxValue="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John Smith"/>
    <x v="0"/>
    <s v="HR Manager"/>
    <d v="2023-05-15T00:00:00"/>
    <n v="60000"/>
  </r>
  <r>
    <x v="1"/>
    <s v="Jane Doe"/>
    <x v="1"/>
    <s v="Marketing Specialist"/>
    <d v="2023-08-20T00:00:00"/>
    <n v="50000"/>
  </r>
  <r>
    <x v="2"/>
    <s v="Michael Johnson"/>
    <x v="2"/>
    <s v="Financial Analyst"/>
    <d v="2023-10-10T00:00:00"/>
    <n v="55000"/>
  </r>
  <r>
    <x v="3"/>
    <s v="Emily Brown"/>
    <x v="3"/>
    <s v="Sales Representative"/>
    <d v="2023-03-25T00:00:00"/>
    <n v="48000"/>
  </r>
  <r>
    <x v="4"/>
    <s v="David Wilson"/>
    <x v="4"/>
    <s v="IT Specialist"/>
    <d v="2023-09-12T00:00:00"/>
    <n v="60000"/>
  </r>
  <r>
    <x v="5"/>
    <s v="Lisa Taylor"/>
    <x v="5"/>
    <s v="Operations Manager"/>
    <d v="2023-06-30T00:00:00"/>
    <n v="65000"/>
  </r>
  <r>
    <x v="6"/>
    <s v="Daniel Martinez"/>
    <x v="6"/>
    <s v="Customer Service Representative"/>
    <d v="2023-11-05T00:00:00"/>
    <n v="45000"/>
  </r>
  <r>
    <x v="7"/>
    <s v="Sarah Anderson"/>
    <x v="7"/>
    <s v="R&amp;D Engineer"/>
    <d v="2023-04-18T00:00:00"/>
    <n v="58000"/>
  </r>
  <r>
    <x v="8"/>
    <s v="Christopher Thomas"/>
    <x v="8"/>
    <s v="Production Supervisor"/>
    <d v="2023-07-22T00:00:00"/>
    <n v="52000"/>
  </r>
  <r>
    <x v="9"/>
    <s v="Kimberly Garcia"/>
    <x v="9"/>
    <s v="QA Analyst"/>
    <d v="2023-02-14T00:00:00"/>
    <n v="56000"/>
  </r>
  <r>
    <x v="10"/>
    <s v="William Hernandez"/>
    <x v="0"/>
    <s v="HR Coordinator"/>
    <d v="2023-09-01T00:00:00"/>
    <n v="48000"/>
  </r>
  <r>
    <x v="11"/>
    <s v="Melissa Lopez"/>
    <x v="1"/>
    <s v="Marketing Manager"/>
    <d v="2023-06-10T00:00:00"/>
    <n v="65000"/>
  </r>
  <r>
    <x v="12"/>
    <s v="Richard Perez"/>
    <x v="2"/>
    <s v="Finance Manager"/>
    <d v="2023-11-18T00:00:00"/>
    <n v="70000"/>
  </r>
  <r>
    <x v="13"/>
    <s v="Jessica Gonzalez"/>
    <x v="3"/>
    <s v="Sales Manager"/>
    <d v="2023-05-03T00:00:00"/>
    <n v="72000"/>
  </r>
  <r>
    <x v="14"/>
    <s v="Matthew Wilson"/>
    <x v="4"/>
    <s v="IT Manager"/>
    <d v="2023-08-08T00:00:00"/>
    <n v="75000"/>
  </r>
  <r>
    <x v="15"/>
    <s v="Amanda Martinez"/>
    <x v="5"/>
    <s v="Operations Coordinator"/>
    <d v="2023-10-29T00:00:00"/>
    <n v="48000"/>
  </r>
  <r>
    <x v="16"/>
    <s v="James Johnson"/>
    <x v="6"/>
    <s v="Customer Service Manager"/>
    <d v="2023-03-12T00:00:00"/>
    <n v="68000"/>
  </r>
  <r>
    <x v="17"/>
    <s v="Laura Brown"/>
    <x v="7"/>
    <s v="R&amp;D Manager"/>
    <d v="2023-06-25T00:00:00"/>
    <n v="70000"/>
  </r>
  <r>
    <x v="18"/>
    <s v="Daniel Smith"/>
    <x v="8"/>
    <s v="Production Manager"/>
    <d v="2023-09-30T00:00:00"/>
    <n v="72000"/>
  </r>
  <r>
    <x v="19"/>
    <s v="Jennifer Davis"/>
    <x v="9"/>
    <s v="QA Manager"/>
    <d v="2023-01-17T00:00:00"/>
    <n v="75000"/>
  </r>
  <r>
    <x v="20"/>
    <s v="Michael Garcia"/>
    <x v="0"/>
    <s v="HR Assistant"/>
    <d v="2023-07-05T00:00:00"/>
    <n v="42000"/>
  </r>
  <r>
    <x v="21"/>
    <s v="Amy Hernandez"/>
    <x v="1"/>
    <s v="Marketing Coordinator"/>
    <d v="2023-04-28T00:00:00"/>
    <n v="48000"/>
  </r>
  <r>
    <x v="22"/>
    <s v="Christopher Rodriguez"/>
    <x v="2"/>
    <s v="Senior Financial Analyst"/>
    <d v="2023-11-12T00:00:00"/>
    <n v="60000"/>
  </r>
  <r>
    <x v="23"/>
    <s v="Jessica Martinez"/>
    <x v="3"/>
    <s v="Senior Sales Representative"/>
    <d v="2023-05-25T00:00:00"/>
    <n v="55000"/>
  </r>
  <r>
    <x v="24"/>
    <s v="David Wilson"/>
    <x v="4"/>
    <s v="Senior IT Specialist"/>
    <d v="2023-08-30T00:00:00"/>
    <n v="70000"/>
  </r>
  <r>
    <x v="25"/>
    <s v="Sarah Smith"/>
    <x v="5"/>
    <s v="Assistant Operations Manager"/>
    <d v="2023-10-15T00:00:00"/>
    <n v="55000"/>
  </r>
  <r>
    <x v="26"/>
    <s v="Matthew Johnson"/>
    <x v="6"/>
    <s v="Senior Customer Service Representative"/>
    <d v="2023-03-28T00:00:00"/>
    <n v="50000"/>
  </r>
  <r>
    <x v="27"/>
    <s v="Emily Davis"/>
    <x v="7"/>
    <s v="R&amp;D Technician"/>
    <d v="2023-06-01T00:00:00"/>
    <n v="48000"/>
  </r>
  <r>
    <x v="28"/>
    <s v="Daniel Wilson"/>
    <x v="8"/>
    <s v="Senior Production Supervisor"/>
    <d v="2023-09-08T00:00:00"/>
    <n v="60000"/>
  </r>
  <r>
    <x v="29"/>
    <s v="Jennifer Martinez"/>
    <x v="9"/>
    <s v="Senior QA Analyst"/>
    <d v="2023-02-22T00:00:00"/>
    <n v="62000"/>
  </r>
  <r>
    <x v="30"/>
    <s v="Michael Smith"/>
    <x v="0"/>
    <s v="HR Generalist"/>
    <d v="2023-07-17T00:00:00"/>
    <n v="50000"/>
  </r>
  <r>
    <x v="31"/>
    <s v="Jessica Johnson"/>
    <x v="1"/>
    <s v="Marketing Assistant"/>
    <d v="2023-04-10T00:00:00"/>
    <n v="42000"/>
  </r>
  <r>
    <x v="32"/>
    <s v="David Brown"/>
    <x v="2"/>
    <s v="Junior Financial Analyst"/>
    <d v="2023-11-26T00:00:00"/>
    <n v="48000"/>
  </r>
  <r>
    <x v="33"/>
    <s v="Sarah Garcia"/>
    <x v="3"/>
    <s v="Sales Coordinator"/>
    <d v="2023-06-17T00:00:00"/>
    <n v="50000"/>
  </r>
  <r>
    <x v="34"/>
    <s v="Matthew Hernandez"/>
    <x v="4"/>
    <s v="Junior IT Specialist"/>
    <d v="2023-09-20T00:00:00"/>
    <n v="48000"/>
  </r>
  <r>
    <x v="35"/>
    <s v="Emily Rodriguez"/>
    <x v="5"/>
    <s v="Operations Assistant"/>
    <d v="2023-12-03T00:00:00"/>
    <n v="42000"/>
  </r>
  <r>
    <x v="36"/>
    <s v="Daniel Davis"/>
    <x v="6"/>
    <s v="Customer Service Associate"/>
    <d v="2023-04-06T00:00:00"/>
    <n v="40000"/>
  </r>
  <r>
    <x v="37"/>
    <s v="Jennifer Smith"/>
    <x v="7"/>
    <s v="R&amp;D Assistant"/>
    <d v="2023-07-30T00:00:00"/>
    <n v="42000"/>
  </r>
  <r>
    <x v="38"/>
    <s v="Michael Johnson"/>
    <x v="8"/>
    <s v="Production Assistant"/>
    <d v="2023-10-25T00:00:00"/>
    <n v="40000"/>
  </r>
  <r>
    <x v="39"/>
    <s v="Jessica Martinez"/>
    <x v="9"/>
    <s v="QA Assistant"/>
    <d v="2023-03-20T00:00:00"/>
    <n v="42000"/>
  </r>
  <r>
    <x v="40"/>
    <m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70DAC-627C-4258-A825-C36FE91FE9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2:B13" firstHeaderRow="1" firstDataRow="1" firstDataCol="1"/>
  <pivotFields count="6">
    <pivotField dataField="1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axis="axisRow" showAll="0">
      <items count="12">
        <item x="6"/>
        <item x="2"/>
        <item x="0"/>
        <item x="4"/>
        <item x="1"/>
        <item x="5"/>
        <item x="8"/>
        <item x="9"/>
        <item x="7"/>
        <item x="3"/>
        <item h="1" x="10"/>
        <item t="default"/>
      </items>
    </pivotField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loyee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07929-29EE-4F71-AF34-B5FA0E2F7EBB}" name="Table1" displayName="Table1" ref="A4:F44" totalsRowShown="0" headerRowDxfId="10" dataDxfId="8" headerRowBorderDxfId="9" tableBorderDxfId="7" totalsRowBorderDxfId="6">
  <autoFilter ref="A4:F44" xr:uid="{2B907929-29EE-4F71-AF34-B5FA0E2F7EBB}"/>
  <tableColumns count="6">
    <tableColumn id="1" xr3:uid="{72DED4CE-2157-4109-92CE-098C92CA3C01}" name="Employee ID" dataDxfId="5"/>
    <tableColumn id="2" xr3:uid="{02538261-A5A4-41A3-9701-E015EBF907CF}" name="Full Name" dataDxfId="4"/>
    <tableColumn id="3" xr3:uid="{34B56133-166B-453C-BA11-F6299173E403}" name="Department" dataDxfId="3"/>
    <tableColumn id="4" xr3:uid="{3FDAE502-A0CF-4001-8B09-6636F897DE06}" name="Designation" dataDxfId="2"/>
    <tableColumn id="5" xr3:uid="{E21B2E39-29FD-44FB-AAD7-7D1C8974F2C9}" name="Hire Date" dataDxfId="1"/>
    <tableColumn id="6" xr3:uid="{566EC64E-2241-4BF3-96D7-CBC267C49CAB}" name="Annual Salary (US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B3A2-CDD1-49D5-B6F4-BB99946DE0D7}">
  <dimension ref="A2:F44"/>
  <sheetViews>
    <sheetView tabSelected="1" zoomScale="60" workbookViewId="0">
      <selection activeCell="C5" sqref="C5"/>
    </sheetView>
  </sheetViews>
  <sheetFormatPr defaultRowHeight="15" x14ac:dyDescent="0.25"/>
  <cols>
    <col min="1" max="1" width="25.28515625" bestFit="1" customWidth="1"/>
    <col min="2" max="2" width="21" bestFit="1" customWidth="1"/>
    <col min="3" max="3" width="31" customWidth="1"/>
    <col min="4" max="4" width="33.42578125" customWidth="1"/>
    <col min="5" max="5" width="23" customWidth="1"/>
    <col min="6" max="6" width="30.85546875" customWidth="1"/>
  </cols>
  <sheetData>
    <row r="2" spans="1:6" ht="25.5" customHeight="1" x14ac:dyDescent="0.4">
      <c r="A2" s="20" t="s">
        <v>93</v>
      </c>
      <c r="B2" s="20"/>
      <c r="C2" s="20"/>
      <c r="D2" s="20"/>
      <c r="E2" s="20"/>
      <c r="F2" s="20"/>
    </row>
    <row r="3" spans="1:6" s="4" customFormat="1" ht="15" customHeight="1" x14ac:dyDescent="0.4">
      <c r="A3" s="3"/>
      <c r="B3" s="3"/>
      <c r="C3" s="3"/>
      <c r="D3" s="3"/>
      <c r="E3" s="3"/>
      <c r="F3" s="3"/>
    </row>
    <row r="4" spans="1:6" ht="15.75" x14ac:dyDescent="0.25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9" t="s">
        <v>5</v>
      </c>
    </row>
    <row r="5" spans="1:6" x14ac:dyDescent="0.25">
      <c r="A5" s="5" t="s">
        <v>94</v>
      </c>
      <c r="B5" s="1" t="s">
        <v>6</v>
      </c>
      <c r="C5" s="1" t="s">
        <v>7</v>
      </c>
      <c r="D5" s="1" t="s">
        <v>8</v>
      </c>
      <c r="E5" s="2">
        <v>45061</v>
      </c>
      <c r="F5" s="6">
        <v>60000</v>
      </c>
    </row>
    <row r="6" spans="1:6" x14ac:dyDescent="0.25">
      <c r="A6" s="5" t="s">
        <v>95</v>
      </c>
      <c r="B6" s="1" t="s">
        <v>9</v>
      </c>
      <c r="C6" s="1" t="s">
        <v>10</v>
      </c>
      <c r="D6" s="1" t="s">
        <v>11</v>
      </c>
      <c r="E6" s="2">
        <v>45158</v>
      </c>
      <c r="F6" s="6">
        <v>50000</v>
      </c>
    </row>
    <row r="7" spans="1:6" x14ac:dyDescent="0.25">
      <c r="A7" s="5" t="s">
        <v>96</v>
      </c>
      <c r="B7" s="1" t="s">
        <v>12</v>
      </c>
      <c r="C7" s="1" t="s">
        <v>13</v>
      </c>
      <c r="D7" s="1" t="s">
        <v>14</v>
      </c>
      <c r="E7" s="2">
        <v>45209</v>
      </c>
      <c r="F7" s="6">
        <v>55000</v>
      </c>
    </row>
    <row r="8" spans="1:6" x14ac:dyDescent="0.25">
      <c r="A8" s="5" t="s">
        <v>97</v>
      </c>
      <c r="B8" s="1" t="s">
        <v>15</v>
      </c>
      <c r="C8" s="1" t="s">
        <v>16</v>
      </c>
      <c r="D8" s="1" t="s">
        <v>17</v>
      </c>
      <c r="E8" s="2">
        <v>45010</v>
      </c>
      <c r="F8" s="6">
        <v>48000</v>
      </c>
    </row>
    <row r="9" spans="1:6" x14ac:dyDescent="0.25">
      <c r="A9" s="5" t="s">
        <v>98</v>
      </c>
      <c r="B9" s="1" t="s">
        <v>18</v>
      </c>
      <c r="C9" s="1" t="s">
        <v>19</v>
      </c>
      <c r="D9" s="1" t="s">
        <v>20</v>
      </c>
      <c r="E9" s="2">
        <v>45181</v>
      </c>
      <c r="F9" s="6">
        <v>60000</v>
      </c>
    </row>
    <row r="10" spans="1:6" x14ac:dyDescent="0.25">
      <c r="A10" s="5" t="s">
        <v>99</v>
      </c>
      <c r="B10" s="1" t="s">
        <v>21</v>
      </c>
      <c r="C10" s="1" t="s">
        <v>22</v>
      </c>
      <c r="D10" s="1" t="s">
        <v>23</v>
      </c>
      <c r="E10" s="2">
        <v>45107</v>
      </c>
      <c r="F10" s="6">
        <v>65000</v>
      </c>
    </row>
    <row r="11" spans="1:6" x14ac:dyDescent="0.25">
      <c r="A11" s="5" t="s">
        <v>100</v>
      </c>
      <c r="B11" s="1" t="s">
        <v>24</v>
      </c>
      <c r="C11" s="1" t="s">
        <v>25</v>
      </c>
      <c r="D11" s="1" t="s">
        <v>26</v>
      </c>
      <c r="E11" s="2">
        <v>45235</v>
      </c>
      <c r="F11" s="6">
        <v>45000</v>
      </c>
    </row>
    <row r="12" spans="1:6" x14ac:dyDescent="0.25">
      <c r="A12" s="5" t="s">
        <v>101</v>
      </c>
      <c r="B12" s="1" t="s">
        <v>27</v>
      </c>
      <c r="C12" s="1" t="s">
        <v>28</v>
      </c>
      <c r="D12" s="1" t="s">
        <v>29</v>
      </c>
      <c r="E12" s="2">
        <v>45034</v>
      </c>
      <c r="F12" s="6">
        <v>58000</v>
      </c>
    </row>
    <row r="13" spans="1:6" x14ac:dyDescent="0.25">
      <c r="A13" s="5" t="s">
        <v>102</v>
      </c>
      <c r="B13" s="1" t="s">
        <v>30</v>
      </c>
      <c r="C13" s="1" t="s">
        <v>31</v>
      </c>
      <c r="D13" s="1" t="s">
        <v>32</v>
      </c>
      <c r="E13" s="2">
        <v>45129</v>
      </c>
      <c r="F13" s="6">
        <v>52000</v>
      </c>
    </row>
    <row r="14" spans="1:6" x14ac:dyDescent="0.25">
      <c r="A14" s="5" t="s">
        <v>103</v>
      </c>
      <c r="B14" s="1" t="s">
        <v>33</v>
      </c>
      <c r="C14" s="1" t="s">
        <v>34</v>
      </c>
      <c r="D14" s="1" t="s">
        <v>35</v>
      </c>
      <c r="E14" s="2">
        <v>44971</v>
      </c>
      <c r="F14" s="6">
        <v>56000</v>
      </c>
    </row>
    <row r="15" spans="1:6" x14ac:dyDescent="0.25">
      <c r="A15" s="5" t="s">
        <v>104</v>
      </c>
      <c r="B15" s="1" t="s">
        <v>36</v>
      </c>
      <c r="C15" s="1" t="s">
        <v>7</v>
      </c>
      <c r="D15" s="1" t="s">
        <v>37</v>
      </c>
      <c r="E15" s="2">
        <v>45170</v>
      </c>
      <c r="F15" s="6">
        <v>48000</v>
      </c>
    </row>
    <row r="16" spans="1:6" x14ac:dyDescent="0.25">
      <c r="A16" s="5" t="s">
        <v>105</v>
      </c>
      <c r="B16" s="1" t="s">
        <v>38</v>
      </c>
      <c r="C16" s="1" t="s">
        <v>10</v>
      </c>
      <c r="D16" s="1" t="s">
        <v>39</v>
      </c>
      <c r="E16" s="2">
        <v>45087</v>
      </c>
      <c r="F16" s="6">
        <v>65000</v>
      </c>
    </row>
    <row r="17" spans="1:6" x14ac:dyDescent="0.25">
      <c r="A17" s="5" t="s">
        <v>106</v>
      </c>
      <c r="B17" s="1" t="s">
        <v>40</v>
      </c>
      <c r="C17" s="1" t="s">
        <v>13</v>
      </c>
      <c r="D17" s="1" t="s">
        <v>41</v>
      </c>
      <c r="E17" s="2">
        <v>45248</v>
      </c>
      <c r="F17" s="6">
        <v>70000</v>
      </c>
    </row>
    <row r="18" spans="1:6" x14ac:dyDescent="0.25">
      <c r="A18" s="5" t="s">
        <v>107</v>
      </c>
      <c r="B18" s="1" t="s">
        <v>42</v>
      </c>
      <c r="C18" s="1" t="s">
        <v>16</v>
      </c>
      <c r="D18" s="1" t="s">
        <v>43</v>
      </c>
      <c r="E18" s="2">
        <v>45049</v>
      </c>
      <c r="F18" s="6">
        <v>72000</v>
      </c>
    </row>
    <row r="19" spans="1:6" x14ac:dyDescent="0.25">
      <c r="A19" s="5" t="s">
        <v>108</v>
      </c>
      <c r="B19" s="1" t="s">
        <v>44</v>
      </c>
      <c r="C19" s="1" t="s">
        <v>19</v>
      </c>
      <c r="D19" s="1" t="s">
        <v>45</v>
      </c>
      <c r="E19" s="2">
        <v>45146</v>
      </c>
      <c r="F19" s="6">
        <v>75000</v>
      </c>
    </row>
    <row r="20" spans="1:6" x14ac:dyDescent="0.25">
      <c r="A20" s="5" t="s">
        <v>109</v>
      </c>
      <c r="B20" s="1" t="s">
        <v>46</v>
      </c>
      <c r="C20" s="1" t="s">
        <v>22</v>
      </c>
      <c r="D20" s="1" t="s">
        <v>47</v>
      </c>
      <c r="E20" s="2">
        <v>45228</v>
      </c>
      <c r="F20" s="6">
        <v>48000</v>
      </c>
    </row>
    <row r="21" spans="1:6" x14ac:dyDescent="0.25">
      <c r="A21" s="5" t="s">
        <v>110</v>
      </c>
      <c r="B21" s="1" t="s">
        <v>48</v>
      </c>
      <c r="C21" s="1" t="s">
        <v>25</v>
      </c>
      <c r="D21" s="1" t="s">
        <v>49</v>
      </c>
      <c r="E21" s="2">
        <v>44997</v>
      </c>
      <c r="F21" s="6">
        <v>68000</v>
      </c>
    </row>
    <row r="22" spans="1:6" x14ac:dyDescent="0.25">
      <c r="A22" s="5" t="s">
        <v>111</v>
      </c>
      <c r="B22" s="1" t="s">
        <v>50</v>
      </c>
      <c r="C22" s="1" t="s">
        <v>28</v>
      </c>
      <c r="D22" s="1" t="s">
        <v>51</v>
      </c>
      <c r="E22" s="2">
        <v>45102</v>
      </c>
      <c r="F22" s="6">
        <v>70000</v>
      </c>
    </row>
    <row r="23" spans="1:6" x14ac:dyDescent="0.25">
      <c r="A23" s="5" t="s">
        <v>112</v>
      </c>
      <c r="B23" s="1" t="s">
        <v>52</v>
      </c>
      <c r="C23" s="1" t="s">
        <v>31</v>
      </c>
      <c r="D23" s="1" t="s">
        <v>53</v>
      </c>
      <c r="E23" s="2">
        <v>45199</v>
      </c>
      <c r="F23" s="6">
        <v>72000</v>
      </c>
    </row>
    <row r="24" spans="1:6" x14ac:dyDescent="0.25">
      <c r="A24" s="5" t="s">
        <v>113</v>
      </c>
      <c r="B24" s="1" t="s">
        <v>54</v>
      </c>
      <c r="C24" s="1" t="s">
        <v>34</v>
      </c>
      <c r="D24" s="1" t="s">
        <v>55</v>
      </c>
      <c r="E24" s="2">
        <v>44943</v>
      </c>
      <c r="F24" s="6">
        <v>75000</v>
      </c>
    </row>
    <row r="25" spans="1:6" x14ac:dyDescent="0.25">
      <c r="A25" s="5" t="s">
        <v>114</v>
      </c>
      <c r="B25" s="1" t="s">
        <v>56</v>
      </c>
      <c r="C25" s="1" t="s">
        <v>7</v>
      </c>
      <c r="D25" s="1" t="s">
        <v>57</v>
      </c>
      <c r="E25" s="2">
        <v>45112</v>
      </c>
      <c r="F25" s="6">
        <v>42000</v>
      </c>
    </row>
    <row r="26" spans="1:6" x14ac:dyDescent="0.25">
      <c r="A26" s="5" t="s">
        <v>115</v>
      </c>
      <c r="B26" s="1" t="s">
        <v>58</v>
      </c>
      <c r="C26" s="1" t="s">
        <v>10</v>
      </c>
      <c r="D26" s="1" t="s">
        <v>59</v>
      </c>
      <c r="E26" s="2">
        <v>45044</v>
      </c>
      <c r="F26" s="6">
        <v>48000</v>
      </c>
    </row>
    <row r="27" spans="1:6" x14ac:dyDescent="0.25">
      <c r="A27" s="5" t="s">
        <v>116</v>
      </c>
      <c r="B27" s="1" t="s">
        <v>60</v>
      </c>
      <c r="C27" s="1" t="s">
        <v>13</v>
      </c>
      <c r="D27" s="1" t="s">
        <v>61</v>
      </c>
      <c r="E27" s="2">
        <v>45242</v>
      </c>
      <c r="F27" s="6">
        <v>60000</v>
      </c>
    </row>
    <row r="28" spans="1:6" x14ac:dyDescent="0.25">
      <c r="A28" s="5" t="s">
        <v>117</v>
      </c>
      <c r="B28" s="1" t="s">
        <v>62</v>
      </c>
      <c r="C28" s="1" t="s">
        <v>16</v>
      </c>
      <c r="D28" s="1" t="s">
        <v>63</v>
      </c>
      <c r="E28" s="2">
        <v>45071</v>
      </c>
      <c r="F28" s="6">
        <v>55000</v>
      </c>
    </row>
    <row r="29" spans="1:6" x14ac:dyDescent="0.25">
      <c r="A29" s="5" t="s">
        <v>118</v>
      </c>
      <c r="B29" s="1" t="s">
        <v>18</v>
      </c>
      <c r="C29" s="1" t="s">
        <v>19</v>
      </c>
      <c r="D29" s="1" t="s">
        <v>64</v>
      </c>
      <c r="E29" s="2">
        <v>45168</v>
      </c>
      <c r="F29" s="6">
        <v>70000</v>
      </c>
    </row>
    <row r="30" spans="1:6" x14ac:dyDescent="0.25">
      <c r="A30" s="5" t="s">
        <v>119</v>
      </c>
      <c r="B30" s="1" t="s">
        <v>65</v>
      </c>
      <c r="C30" s="1" t="s">
        <v>22</v>
      </c>
      <c r="D30" s="1" t="s">
        <v>66</v>
      </c>
      <c r="E30" s="2">
        <v>45214</v>
      </c>
      <c r="F30" s="6">
        <v>55000</v>
      </c>
    </row>
    <row r="31" spans="1:6" x14ac:dyDescent="0.25">
      <c r="A31" s="5" t="s">
        <v>120</v>
      </c>
      <c r="B31" s="1" t="s">
        <v>67</v>
      </c>
      <c r="C31" s="1" t="s">
        <v>25</v>
      </c>
      <c r="D31" s="1" t="s">
        <v>68</v>
      </c>
      <c r="E31" s="2">
        <v>45013</v>
      </c>
      <c r="F31" s="6">
        <v>50000</v>
      </c>
    </row>
    <row r="32" spans="1:6" x14ac:dyDescent="0.25">
      <c r="A32" s="5" t="s">
        <v>121</v>
      </c>
      <c r="B32" s="1" t="s">
        <v>69</v>
      </c>
      <c r="C32" s="1" t="s">
        <v>28</v>
      </c>
      <c r="D32" s="1" t="s">
        <v>70</v>
      </c>
      <c r="E32" s="2">
        <v>45078</v>
      </c>
      <c r="F32" s="6">
        <v>48000</v>
      </c>
    </row>
    <row r="33" spans="1:6" x14ac:dyDescent="0.25">
      <c r="A33" s="5" t="s">
        <v>122</v>
      </c>
      <c r="B33" s="1" t="s">
        <v>71</v>
      </c>
      <c r="C33" s="1" t="s">
        <v>31</v>
      </c>
      <c r="D33" s="1" t="s">
        <v>72</v>
      </c>
      <c r="E33" s="2">
        <v>45177</v>
      </c>
      <c r="F33" s="6">
        <v>60000</v>
      </c>
    </row>
    <row r="34" spans="1:6" x14ac:dyDescent="0.25">
      <c r="A34" s="5" t="s">
        <v>123</v>
      </c>
      <c r="B34" s="1" t="s">
        <v>73</v>
      </c>
      <c r="C34" s="1" t="s">
        <v>34</v>
      </c>
      <c r="D34" s="1" t="s">
        <v>74</v>
      </c>
      <c r="E34" s="2">
        <v>44979</v>
      </c>
      <c r="F34" s="6">
        <v>62000</v>
      </c>
    </row>
    <row r="35" spans="1:6" x14ac:dyDescent="0.25">
      <c r="A35" s="5" t="s">
        <v>124</v>
      </c>
      <c r="B35" s="1" t="s">
        <v>75</v>
      </c>
      <c r="C35" s="1" t="s">
        <v>7</v>
      </c>
      <c r="D35" s="1" t="s">
        <v>76</v>
      </c>
      <c r="E35" s="2">
        <v>45124</v>
      </c>
      <c r="F35" s="6">
        <v>50000</v>
      </c>
    </row>
    <row r="36" spans="1:6" x14ac:dyDescent="0.25">
      <c r="A36" s="5" t="s">
        <v>125</v>
      </c>
      <c r="B36" s="1" t="s">
        <v>77</v>
      </c>
      <c r="C36" s="1" t="s">
        <v>10</v>
      </c>
      <c r="D36" s="1" t="s">
        <v>78</v>
      </c>
      <c r="E36" s="2">
        <v>45026</v>
      </c>
      <c r="F36" s="6">
        <v>42000</v>
      </c>
    </row>
    <row r="37" spans="1:6" x14ac:dyDescent="0.25">
      <c r="A37" s="5" t="s">
        <v>126</v>
      </c>
      <c r="B37" s="1" t="s">
        <v>79</v>
      </c>
      <c r="C37" s="1" t="s">
        <v>13</v>
      </c>
      <c r="D37" s="1" t="s">
        <v>80</v>
      </c>
      <c r="E37" s="2">
        <v>45256</v>
      </c>
      <c r="F37" s="6">
        <v>48000</v>
      </c>
    </row>
    <row r="38" spans="1:6" x14ac:dyDescent="0.25">
      <c r="A38" s="5" t="s">
        <v>127</v>
      </c>
      <c r="B38" s="1" t="s">
        <v>81</v>
      </c>
      <c r="C38" s="1" t="s">
        <v>16</v>
      </c>
      <c r="D38" s="1" t="s">
        <v>82</v>
      </c>
      <c r="E38" s="2">
        <v>45094</v>
      </c>
      <c r="F38" s="6">
        <v>50000</v>
      </c>
    </row>
    <row r="39" spans="1:6" x14ac:dyDescent="0.25">
      <c r="A39" s="5" t="s">
        <v>128</v>
      </c>
      <c r="B39" s="1" t="s">
        <v>83</v>
      </c>
      <c r="C39" s="1" t="s">
        <v>19</v>
      </c>
      <c r="D39" s="1" t="s">
        <v>84</v>
      </c>
      <c r="E39" s="2">
        <v>45189</v>
      </c>
      <c r="F39" s="6">
        <v>48000</v>
      </c>
    </row>
    <row r="40" spans="1:6" x14ac:dyDescent="0.25">
      <c r="A40" s="5" t="s">
        <v>129</v>
      </c>
      <c r="B40" s="1" t="s">
        <v>85</v>
      </c>
      <c r="C40" s="1" t="s">
        <v>22</v>
      </c>
      <c r="D40" s="1" t="s">
        <v>86</v>
      </c>
      <c r="E40" s="2">
        <v>45263</v>
      </c>
      <c r="F40" s="6">
        <v>42000</v>
      </c>
    </row>
    <row r="41" spans="1:6" x14ac:dyDescent="0.25">
      <c r="A41" s="5" t="s">
        <v>130</v>
      </c>
      <c r="B41" s="1" t="s">
        <v>87</v>
      </c>
      <c r="C41" s="1" t="s">
        <v>25</v>
      </c>
      <c r="D41" s="1" t="s">
        <v>88</v>
      </c>
      <c r="E41" s="2">
        <v>45022</v>
      </c>
      <c r="F41" s="6">
        <v>40000</v>
      </c>
    </row>
    <row r="42" spans="1:6" x14ac:dyDescent="0.25">
      <c r="A42" s="5" t="s">
        <v>131</v>
      </c>
      <c r="B42" s="1" t="s">
        <v>89</v>
      </c>
      <c r="C42" s="1" t="s">
        <v>28</v>
      </c>
      <c r="D42" s="1" t="s">
        <v>90</v>
      </c>
      <c r="E42" s="2">
        <v>45137</v>
      </c>
      <c r="F42" s="6">
        <v>42000</v>
      </c>
    </row>
    <row r="43" spans="1:6" x14ac:dyDescent="0.25">
      <c r="A43" s="5" t="s">
        <v>132</v>
      </c>
      <c r="B43" s="1" t="s">
        <v>12</v>
      </c>
      <c r="C43" s="1" t="s">
        <v>31</v>
      </c>
      <c r="D43" s="1" t="s">
        <v>91</v>
      </c>
      <c r="E43" s="2">
        <v>45224</v>
      </c>
      <c r="F43" s="6">
        <v>40000</v>
      </c>
    </row>
    <row r="44" spans="1:6" x14ac:dyDescent="0.25">
      <c r="A44" s="10" t="s">
        <v>133</v>
      </c>
      <c r="B44" s="11" t="s">
        <v>62</v>
      </c>
      <c r="C44" s="11" t="s">
        <v>34</v>
      </c>
      <c r="D44" s="11" t="s">
        <v>92</v>
      </c>
      <c r="E44" s="12">
        <v>45005</v>
      </c>
      <c r="F44" s="13">
        <v>42000</v>
      </c>
    </row>
  </sheetData>
  <mergeCells count="1">
    <mergeCell ref="A2:F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FDE8-E13A-4EE5-A052-1241FB4EEE60}">
  <dimension ref="A2:B13"/>
  <sheetViews>
    <sheetView zoomScale="78" workbookViewId="0">
      <selection activeCell="B13" sqref="B13"/>
    </sheetView>
  </sheetViews>
  <sheetFormatPr defaultRowHeight="15" x14ac:dyDescent="0.25"/>
  <cols>
    <col min="1" max="1" width="25.28515625" bestFit="1" customWidth="1"/>
    <col min="2" max="2" width="21" bestFit="1" customWidth="1"/>
  </cols>
  <sheetData>
    <row r="2" spans="1:2" x14ac:dyDescent="0.25">
      <c r="A2" s="14" t="s">
        <v>134</v>
      </c>
      <c r="B2" t="s">
        <v>136</v>
      </c>
    </row>
    <row r="3" spans="1:2" x14ac:dyDescent="0.25">
      <c r="A3" s="15" t="s">
        <v>25</v>
      </c>
      <c r="B3">
        <v>4</v>
      </c>
    </row>
    <row r="4" spans="1:2" x14ac:dyDescent="0.25">
      <c r="A4" s="15" t="s">
        <v>13</v>
      </c>
      <c r="B4">
        <v>4</v>
      </c>
    </row>
    <row r="5" spans="1:2" x14ac:dyDescent="0.25">
      <c r="A5" s="15" t="s">
        <v>7</v>
      </c>
      <c r="B5">
        <v>4</v>
      </c>
    </row>
    <row r="6" spans="1:2" x14ac:dyDescent="0.25">
      <c r="A6" s="15" t="s">
        <v>19</v>
      </c>
      <c r="B6">
        <v>4</v>
      </c>
    </row>
    <row r="7" spans="1:2" x14ac:dyDescent="0.25">
      <c r="A7" s="15" t="s">
        <v>10</v>
      </c>
      <c r="B7">
        <v>4</v>
      </c>
    </row>
    <row r="8" spans="1:2" x14ac:dyDescent="0.25">
      <c r="A8" s="15" t="s">
        <v>22</v>
      </c>
      <c r="B8">
        <v>4</v>
      </c>
    </row>
    <row r="9" spans="1:2" x14ac:dyDescent="0.25">
      <c r="A9" s="15" t="s">
        <v>31</v>
      </c>
      <c r="B9">
        <v>4</v>
      </c>
    </row>
    <row r="10" spans="1:2" x14ac:dyDescent="0.25">
      <c r="A10" s="15" t="s">
        <v>34</v>
      </c>
      <c r="B10">
        <v>4</v>
      </c>
    </row>
    <row r="11" spans="1:2" x14ac:dyDescent="0.25">
      <c r="A11" s="15" t="s">
        <v>28</v>
      </c>
      <c r="B11">
        <v>4</v>
      </c>
    </row>
    <row r="12" spans="1:2" ht="14.25" customHeight="1" x14ac:dyDescent="0.25">
      <c r="A12" s="15" t="s">
        <v>16</v>
      </c>
      <c r="B12">
        <v>4</v>
      </c>
    </row>
    <row r="13" spans="1:2" x14ac:dyDescent="0.25">
      <c r="A13" s="15" t="s">
        <v>135</v>
      </c>
      <c r="B13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6E9B-C60D-4704-9790-7F49EBFB31B3}">
  <dimension ref="A1:H4"/>
  <sheetViews>
    <sheetView workbookViewId="0">
      <selection activeCell="G4" sqref="G4"/>
    </sheetView>
  </sheetViews>
  <sheetFormatPr defaultRowHeight="15" x14ac:dyDescent="0.25"/>
  <cols>
    <col min="2" max="2" width="17.42578125" customWidth="1"/>
    <col min="3" max="3" width="8.140625" customWidth="1"/>
    <col min="4" max="4" width="20.7109375" customWidth="1"/>
    <col min="6" max="6" width="19.42578125" customWidth="1"/>
    <col min="7" max="7" width="19" customWidth="1"/>
  </cols>
  <sheetData>
    <row r="1" spans="1:8" ht="24" x14ac:dyDescent="0.4">
      <c r="A1" s="19" t="s">
        <v>140</v>
      </c>
      <c r="B1" s="19"/>
      <c r="C1" s="19"/>
      <c r="D1" s="19"/>
      <c r="E1" s="19"/>
      <c r="F1" s="19"/>
      <c r="G1" s="19"/>
      <c r="H1" s="19"/>
    </row>
    <row r="2" spans="1:8" x14ac:dyDescent="0.25">
      <c r="A2" s="18"/>
      <c r="B2" s="18"/>
      <c r="C2" s="18"/>
      <c r="D2" s="18"/>
      <c r="E2" s="18"/>
      <c r="F2" s="18"/>
      <c r="G2" s="18"/>
      <c r="H2" s="18"/>
    </row>
    <row r="3" spans="1:8" x14ac:dyDescent="0.25">
      <c r="B3" s="16" t="s">
        <v>137</v>
      </c>
      <c r="D3" s="16" t="s">
        <v>138</v>
      </c>
      <c r="F3" s="16" t="s">
        <v>139</v>
      </c>
    </row>
    <row r="4" spans="1:8" ht="42" x14ac:dyDescent="0.65">
      <c r="B4" s="17">
        <f>40</f>
        <v>40</v>
      </c>
      <c r="D4" s="17">
        <f>10</f>
        <v>10</v>
      </c>
      <c r="F4" s="17">
        <f>4</f>
        <v>4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KPI +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S0107942</dc:creator>
  <cp:lastModifiedBy>Sangeetha Muralidharan</cp:lastModifiedBy>
  <dcterms:created xsi:type="dcterms:W3CDTF">2026-03-06T12:41:14Z</dcterms:created>
  <dcterms:modified xsi:type="dcterms:W3CDTF">2026-03-08T10:37:59Z</dcterms:modified>
</cp:coreProperties>
</file>